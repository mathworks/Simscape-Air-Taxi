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MILLER\TMW\Simscape\Demos\ssczAll\Electric_Aircraft\Airtaxi_Wing\XLLink\"/>
    </mc:Choice>
  </mc:AlternateContent>
  <xr:revisionPtr revIDLastSave="0" documentId="10_ncr:100000_{5D289A41-6047-4919-B466-8E811DD7B982}" xr6:coauthVersionLast="31" xr6:coauthVersionMax="31" xr10:uidLastSave="{00000000-0000-0000-0000-000000000000}"/>
  <bookViews>
    <workbookView xWindow="0" yWindow="0" windowWidth="16164" windowHeight="9204" xr2:uid="{00000000-000D-0000-FFFF-FFFF00000000}"/>
  </bookViews>
  <sheets>
    <sheet name="Results" sheetId="1" r:id="rId1"/>
    <sheet name="Data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17" i="1" l="1"/>
  <c r="AN17" i="1"/>
  <c r="AM17" i="1"/>
  <c r="AL17" i="1"/>
  <c r="AK17" i="1"/>
  <c r="AJ17" i="1"/>
  <c r="AO16" i="1"/>
  <c r="AN16" i="1"/>
  <c r="AM16" i="1"/>
  <c r="AL16" i="1"/>
  <c r="AK16" i="1"/>
  <c r="AJ16" i="1"/>
  <c r="AO15" i="1"/>
  <c r="AN15" i="1"/>
  <c r="AM15" i="1"/>
  <c r="AL15" i="1"/>
  <c r="AK15" i="1"/>
  <c r="AJ15" i="1"/>
  <c r="AO14" i="1"/>
  <c r="AN14" i="1"/>
  <c r="AM14" i="1"/>
  <c r="AL14" i="1"/>
  <c r="AK14" i="1"/>
  <c r="AJ14" i="1"/>
  <c r="AO13" i="1"/>
  <c r="AN13" i="1"/>
  <c r="AM13" i="1"/>
  <c r="AL13" i="1"/>
  <c r="AK13" i="1"/>
  <c r="AJ13" i="1"/>
  <c r="AO12" i="1"/>
  <c r="AN12" i="1"/>
  <c r="AM12" i="1"/>
  <c r="AL12" i="1"/>
  <c r="AK12" i="1"/>
  <c r="AJ12" i="1"/>
  <c r="AO11" i="1"/>
  <c r="AN11" i="1"/>
  <c r="AM11" i="1"/>
  <c r="AL11" i="1"/>
  <c r="AK11" i="1"/>
  <c r="AJ11" i="1"/>
  <c r="AO10" i="1"/>
  <c r="AN10" i="1"/>
  <c r="AM10" i="1"/>
  <c r="AL10" i="1"/>
  <c r="AK10" i="1"/>
  <c r="AJ10" i="1"/>
  <c r="AO9" i="1"/>
  <c r="AN9" i="1"/>
  <c r="AM9" i="1"/>
  <c r="AL9" i="1"/>
  <c r="AK9" i="1"/>
  <c r="AJ9" i="1"/>
  <c r="AO8" i="1"/>
  <c r="AN8" i="1"/>
  <c r="AM8" i="1"/>
  <c r="AL8" i="1"/>
  <c r="AK8" i="1"/>
  <c r="AJ8" i="1"/>
  <c r="AO7" i="1"/>
  <c r="AN7" i="1"/>
  <c r="AM7" i="1"/>
  <c r="AL7" i="1"/>
  <c r="AK7" i="1"/>
  <c r="AJ7" i="1"/>
  <c r="AO6" i="1"/>
  <c r="AN6" i="1"/>
  <c r="AM6" i="1"/>
  <c r="AL6" i="1"/>
  <c r="AK6" i="1"/>
  <c r="AJ6" i="1"/>
  <c r="AO5" i="1"/>
  <c r="AN5" i="1"/>
  <c r="AM5" i="1"/>
  <c r="AL5" i="1"/>
  <c r="AK5" i="1"/>
  <c r="AJ5" i="1"/>
  <c r="AO18" i="1"/>
  <c r="AJ18" i="1"/>
  <c r="AK18" i="1" s="1"/>
  <c r="AL18" i="1" s="1"/>
  <c r="AM18" i="1" s="1"/>
  <c r="AN18" i="1" s="1"/>
  <c r="AI17" i="1"/>
  <c r="AI5" i="1"/>
  <c r="M18" i="1"/>
  <c r="H18" i="1"/>
  <c r="I18" i="1" s="1"/>
  <c r="J18" i="1" s="1"/>
  <c r="K18" i="1" s="1"/>
  <c r="L18" i="1" s="1"/>
  <c r="G17" i="1"/>
  <c r="G10" i="1" s="1"/>
  <c r="G5" i="1"/>
  <c r="G7" i="1"/>
  <c r="G13" i="1"/>
  <c r="AI6" i="1" l="1"/>
  <c r="AI10" i="1"/>
  <c r="AI14" i="1"/>
  <c r="G12" i="1"/>
  <c r="G6" i="1"/>
  <c r="AI7" i="1"/>
  <c r="AI11" i="1"/>
  <c r="AI15" i="1"/>
  <c r="G15" i="1"/>
  <c r="G11" i="1"/>
  <c r="AI8" i="1"/>
  <c r="AI12" i="1"/>
  <c r="AI16" i="1"/>
  <c r="G14" i="1"/>
  <c r="G16" i="1"/>
  <c r="AI9" i="1"/>
  <c r="AI13" i="1"/>
  <c r="G9" i="1"/>
  <c r="G8" i="1"/>
</calcChain>
</file>

<file path=xl/sharedStrings.xml><?xml version="1.0" encoding="utf-8"?>
<sst xmlns="http://schemas.openxmlformats.org/spreadsheetml/2006/main" count="19" uniqueCount="17">
  <si>
    <t>Architecture</t>
  </si>
  <si>
    <t>Max Battery Capacity</t>
  </si>
  <si>
    <t>Electric</t>
  </si>
  <si>
    <t>Airframe</t>
  </si>
  <si>
    <t>Single Seat</t>
  </si>
  <si>
    <t>Min Battery Capacity</t>
  </si>
  <si>
    <t>Max Payload</t>
  </si>
  <si>
    <t>Min Payload</t>
  </si>
  <si>
    <t>A*hr</t>
  </si>
  <si>
    <t>kg</t>
  </si>
  <si>
    <t>Payload (kg)</t>
  </si>
  <si>
    <t>Battery Capacity (A*hr)</t>
  </si>
  <si>
    <t>Min Range</t>
  </si>
  <si>
    <t>km</t>
  </si>
  <si>
    <t>Flight Range (km)</t>
  </si>
  <si>
    <t>Design Parameters</t>
  </si>
  <si>
    <t>Electric Aircraft Design Space Exploration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</si>
</sst>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sz val="11"/>
      <color rgb="FF0D78C9"/>
      <name val="Calibri"/>
      <family val="2"/>
      <scheme val="minor"/>
    </font>
    <font>
      <sz val="11"/>
      <color rgb="FF0D78C9"/>
      <name val="Calibri"/>
      <family val="2"/>
      <scheme val="minor"/>
    </font>
    <font>
      <b/>
      <sz val="14"/>
      <color rgb="FF0D78C9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4"/>
      <color rgb="FF7030A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2" borderId="0" xfId="0" applyFont="1" applyFill="1"/>
    <xf numFmtId="0" fontId="0" fillId="0" borderId="0" xfId="0" applyAlignment="1">
      <alignment horizontal="right"/>
    </xf>
    <xf numFmtId="0" fontId="1" fillId="2" borderId="0" xfId="0" applyFont="1" applyFill="1"/>
    <xf numFmtId="0" fontId="0" fillId="2" borderId="0" xfId="0" applyFill="1"/>
    <xf numFmtId="0" fontId="0" fillId="2" borderId="0" xfId="0" applyFill="1" applyAlignment="1">
      <alignment horizontal="right"/>
    </xf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8" xfId="0" applyFont="1" applyFill="1" applyBorder="1"/>
    <xf numFmtId="0" fontId="1" fillId="2" borderId="6" xfId="0" applyFont="1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0" xfId="0" applyFill="1" applyBorder="1"/>
    <xf numFmtId="0" fontId="0" fillId="2" borderId="8" xfId="0" applyFill="1" applyBorder="1"/>
    <xf numFmtId="0" fontId="0" fillId="2" borderId="7" xfId="0" applyFill="1" applyBorder="1"/>
    <xf numFmtId="0" fontId="0" fillId="2" borderId="4" xfId="0" applyFill="1" applyBorder="1"/>
    <xf numFmtId="0" fontId="0" fillId="2" borderId="5" xfId="0" applyFill="1" applyBorder="1"/>
    <xf numFmtId="0" fontId="3" fillId="2" borderId="0" xfId="0" applyFont="1" applyFill="1"/>
    <xf numFmtId="0" fontId="1" fillId="2" borderId="7" xfId="0" applyFont="1" applyFill="1" applyBorder="1"/>
    <xf numFmtId="0" fontId="0" fillId="2" borderId="0" xfId="0" applyFill="1" applyBorder="1" applyAlignment="1">
      <alignment horizontal="center"/>
    </xf>
    <xf numFmtId="0" fontId="5" fillId="2" borderId="4" xfId="0" applyFont="1" applyFill="1" applyBorder="1"/>
    <xf numFmtId="0" fontId="4" fillId="2" borderId="5" xfId="0" applyFont="1" applyFill="1" applyBorder="1" applyAlignment="1">
      <alignment horizontal="right"/>
    </xf>
    <xf numFmtId="0" fontId="4" fillId="2" borderId="6" xfId="0" applyFont="1" applyFill="1" applyBorder="1" applyAlignment="1">
      <alignment horizontal="left"/>
    </xf>
    <xf numFmtId="0" fontId="9" fillId="2" borderId="0" xfId="0" applyFont="1" applyFill="1"/>
    <xf numFmtId="1" fontId="0" fillId="2" borderId="7" xfId="0" applyNumberFormat="1" applyFill="1" applyBorder="1"/>
    <xf numFmtId="1" fontId="0" fillId="2" borderId="0" xfId="0" applyNumberFormat="1" applyFill="1" applyBorder="1"/>
    <xf numFmtId="1" fontId="0" fillId="2" borderId="8" xfId="0" applyNumberFormat="1" applyFill="1" applyBorder="1"/>
    <xf numFmtId="1" fontId="0" fillId="2" borderId="4" xfId="0" applyNumberFormat="1" applyFill="1" applyBorder="1"/>
    <xf numFmtId="1" fontId="0" fillId="2" borderId="5" xfId="0" applyNumberFormat="1" applyFill="1" applyBorder="1"/>
    <xf numFmtId="1" fontId="0" fillId="2" borderId="6" xfId="0" applyNumberFormat="1" applyFill="1" applyBorder="1"/>
    <xf numFmtId="0" fontId="10" fillId="2" borderId="7" xfId="0" applyFont="1" applyFill="1" applyBorder="1"/>
    <xf numFmtId="0" fontId="11" fillId="2" borderId="0" xfId="0" quotePrefix="1" applyFont="1" applyFill="1" applyBorder="1" applyAlignment="1">
      <alignment horizontal="right"/>
    </xf>
    <xf numFmtId="0" fontId="11" fillId="2" borderId="8" xfId="0" applyFont="1" applyFill="1" applyBorder="1"/>
    <xf numFmtId="0" fontId="11" fillId="2" borderId="0" xfId="0" applyFont="1" applyFill="1" applyBorder="1" applyAlignment="1">
      <alignment horizontal="right"/>
    </xf>
    <xf numFmtId="0" fontId="10" fillId="2" borderId="0" xfId="0" applyFont="1" applyFill="1" applyBorder="1"/>
    <xf numFmtId="0" fontId="10" fillId="2" borderId="8" xfId="0" applyFont="1" applyFill="1" applyBorder="1"/>
    <xf numFmtId="0" fontId="13" fillId="2" borderId="7" xfId="0" applyFont="1" applyFill="1" applyBorder="1"/>
    <xf numFmtId="0" fontId="14" fillId="2" borderId="0" xfId="0" applyFont="1" applyFill="1" applyBorder="1" applyAlignment="1">
      <alignment horizontal="right"/>
    </xf>
    <xf numFmtId="0" fontId="14" fillId="2" borderId="8" xfId="0" applyFont="1" applyFill="1" applyBorder="1"/>
    <xf numFmtId="0" fontId="13" fillId="2" borderId="0" xfId="0" applyFont="1" applyFill="1" applyBorder="1"/>
    <xf numFmtId="0" fontId="12" fillId="2" borderId="5" xfId="0" applyFont="1" applyFill="1" applyBorder="1" applyAlignment="1">
      <alignment horizontal="center"/>
    </xf>
    <xf numFmtId="0" fontId="12" fillId="2" borderId="6" xfId="0" applyFont="1" applyFill="1" applyBorder="1" applyAlignment="1">
      <alignment horizontal="center"/>
    </xf>
    <xf numFmtId="0" fontId="15" fillId="2" borderId="7" xfId="0" applyFont="1" applyFill="1" applyBorder="1" applyAlignment="1">
      <alignment horizontal="center" vertical="center" textRotation="90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</cellXfs>
  <cellStyles count="1">
    <cellStyle name="Normal" xfId="0" builtinId="0"/>
  </cellStyles>
  <dxfs count="2"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D78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 sz="1600" b="1">
                <a:solidFill>
                  <a:sysClr val="windowText" lastClr="000000"/>
                </a:solidFill>
              </a:rPr>
              <a:t>Flight Range (km)</a:t>
            </a:r>
          </a:p>
        </c:rich>
      </c:tx>
      <c:layout>
        <c:manualLayout>
          <c:xMode val="edge"/>
          <c:yMode val="edge"/>
          <c:x val="0.23920138888888889"/>
          <c:y val="7.5720103533840049E-3"/>
        </c:manualLayout>
      </c:layout>
      <c:overlay val="0"/>
      <c:spPr>
        <a:noFill/>
        <a:ln>
          <a:noFill/>
        </a:ln>
        <a:effectLst/>
      </c:spPr>
    </c:title>
    <c:autoTitleDeleted val="0"/>
    <c:view3D>
      <c:rotX val="20"/>
      <c:rotY val="5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0137237315675403E-2"/>
          <c:y val="3.3714242216494258E-2"/>
          <c:w val="0.88376163802417174"/>
          <c:h val="0.88047162548784541"/>
        </c:manualLayout>
      </c:layout>
      <c:surface3DChart>
        <c:wireframe val="0"/>
        <c:ser>
          <c:idx val="0"/>
          <c:order val="0"/>
          <c:tx>
            <c:strRef>
              <c:f>Results!$H$18</c:f>
              <c:strCache>
                <c:ptCount val="1"/>
                <c:pt idx="0">
                  <c:v>100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Results!$G$5:$G$17</c:f>
              <c:numCache>
                <c:formatCode>General</c:formatCode>
                <c:ptCount val="13"/>
                <c:pt idx="0">
                  <c:v>120</c:v>
                </c:pt>
                <c:pt idx="1">
                  <c:v>110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30</c:v>
                </c:pt>
                <c:pt idx="10">
                  <c:v>20</c:v>
                </c:pt>
                <c:pt idx="11">
                  <c:v>10</c:v>
                </c:pt>
                <c:pt idx="12">
                  <c:v>0</c:v>
                </c:pt>
              </c:numCache>
            </c:numRef>
          </c:cat>
          <c:val>
            <c:numRef>
              <c:f>Results!$H$5:$H$17</c:f>
              <c:numCache>
                <c:formatCode>0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0-0292-42CE-9FD6-CC4B5C704753}"/>
            </c:ext>
          </c:extLst>
        </c:ser>
        <c:ser>
          <c:idx val="1"/>
          <c:order val="1"/>
          <c:tx>
            <c:strRef>
              <c:f>Results!$I$18</c:f>
              <c:strCache>
                <c:ptCount val="1"/>
                <c:pt idx="0">
                  <c:v>120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Results!$G$5:$G$17</c:f>
              <c:numCache>
                <c:formatCode>General</c:formatCode>
                <c:ptCount val="13"/>
                <c:pt idx="0">
                  <c:v>120</c:v>
                </c:pt>
                <c:pt idx="1">
                  <c:v>110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30</c:v>
                </c:pt>
                <c:pt idx="10">
                  <c:v>20</c:v>
                </c:pt>
                <c:pt idx="11">
                  <c:v>10</c:v>
                </c:pt>
                <c:pt idx="12">
                  <c:v>0</c:v>
                </c:pt>
              </c:numCache>
            </c:numRef>
          </c:cat>
          <c:val>
            <c:numRef>
              <c:f>Results!$I$5:$I$17</c:f>
              <c:numCache>
                <c:formatCode>0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1-0292-42CE-9FD6-CC4B5C704753}"/>
            </c:ext>
          </c:extLst>
        </c:ser>
        <c:ser>
          <c:idx val="2"/>
          <c:order val="2"/>
          <c:tx>
            <c:strRef>
              <c:f>Results!$J$18</c:f>
              <c:strCache>
                <c:ptCount val="1"/>
                <c:pt idx="0">
                  <c:v>140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Results!$G$5:$G$17</c:f>
              <c:numCache>
                <c:formatCode>General</c:formatCode>
                <c:ptCount val="13"/>
                <c:pt idx="0">
                  <c:v>120</c:v>
                </c:pt>
                <c:pt idx="1">
                  <c:v>110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30</c:v>
                </c:pt>
                <c:pt idx="10">
                  <c:v>20</c:v>
                </c:pt>
                <c:pt idx="11">
                  <c:v>10</c:v>
                </c:pt>
                <c:pt idx="12">
                  <c:v>0</c:v>
                </c:pt>
              </c:numCache>
            </c:numRef>
          </c:cat>
          <c:val>
            <c:numRef>
              <c:f>Results!$J$5:$J$17</c:f>
              <c:numCache>
                <c:formatCode>0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2-0292-42CE-9FD6-CC4B5C704753}"/>
            </c:ext>
          </c:extLst>
        </c:ser>
        <c:ser>
          <c:idx val="3"/>
          <c:order val="3"/>
          <c:tx>
            <c:strRef>
              <c:f>Results!$K$18</c:f>
              <c:strCache>
                <c:ptCount val="1"/>
                <c:pt idx="0">
                  <c:v>160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Results!$G$5:$G$17</c:f>
              <c:numCache>
                <c:formatCode>General</c:formatCode>
                <c:ptCount val="13"/>
                <c:pt idx="0">
                  <c:v>120</c:v>
                </c:pt>
                <c:pt idx="1">
                  <c:v>110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30</c:v>
                </c:pt>
                <c:pt idx="10">
                  <c:v>20</c:v>
                </c:pt>
                <c:pt idx="11">
                  <c:v>10</c:v>
                </c:pt>
                <c:pt idx="12">
                  <c:v>0</c:v>
                </c:pt>
              </c:numCache>
            </c:numRef>
          </c:cat>
          <c:val>
            <c:numRef>
              <c:f>Results!$K$5:$K$17</c:f>
              <c:numCache>
                <c:formatCode>0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3-0292-42CE-9FD6-CC4B5C704753}"/>
            </c:ext>
          </c:extLst>
        </c:ser>
        <c:ser>
          <c:idx val="4"/>
          <c:order val="4"/>
          <c:tx>
            <c:strRef>
              <c:f>Results!$L$18</c:f>
              <c:strCache>
                <c:ptCount val="1"/>
                <c:pt idx="0">
                  <c:v>180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Results!$G$5:$G$17</c:f>
              <c:numCache>
                <c:formatCode>General</c:formatCode>
                <c:ptCount val="13"/>
                <c:pt idx="0">
                  <c:v>120</c:v>
                </c:pt>
                <c:pt idx="1">
                  <c:v>110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30</c:v>
                </c:pt>
                <c:pt idx="10">
                  <c:v>20</c:v>
                </c:pt>
                <c:pt idx="11">
                  <c:v>10</c:v>
                </c:pt>
                <c:pt idx="12">
                  <c:v>0</c:v>
                </c:pt>
              </c:numCache>
            </c:numRef>
          </c:cat>
          <c:val>
            <c:numRef>
              <c:f>Results!$L$5:$L$17</c:f>
              <c:numCache>
                <c:formatCode>0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4-0292-42CE-9FD6-CC4B5C704753}"/>
            </c:ext>
          </c:extLst>
        </c:ser>
        <c:ser>
          <c:idx val="5"/>
          <c:order val="5"/>
          <c:tx>
            <c:strRef>
              <c:f>Results!$M$18</c:f>
              <c:strCache>
                <c:ptCount val="1"/>
                <c:pt idx="0">
                  <c:v>200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Results!$G$5:$G$17</c:f>
              <c:numCache>
                <c:formatCode>General</c:formatCode>
                <c:ptCount val="13"/>
                <c:pt idx="0">
                  <c:v>120</c:v>
                </c:pt>
                <c:pt idx="1">
                  <c:v>110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30</c:v>
                </c:pt>
                <c:pt idx="10">
                  <c:v>20</c:v>
                </c:pt>
                <c:pt idx="11">
                  <c:v>10</c:v>
                </c:pt>
                <c:pt idx="12">
                  <c:v>0</c:v>
                </c:pt>
              </c:numCache>
            </c:numRef>
          </c:cat>
          <c:val>
            <c:numRef>
              <c:f>Results!$M$5:$M$17</c:f>
              <c:numCache>
                <c:formatCode>0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5-0292-42CE-9FD6-CC4B5C704753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24122344"/>
        <c:axId val="624119720"/>
        <c:axId val="324163184"/>
      </c:surface3DChart>
      <c:catAx>
        <c:axId val="624122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200" b="1">
                    <a:solidFill>
                      <a:srgbClr val="7030A0"/>
                    </a:solidFill>
                  </a:rPr>
                  <a:t>Payload (kg)</a:t>
                </a:r>
              </a:p>
            </c:rich>
          </c:tx>
          <c:layout>
            <c:manualLayout>
              <c:xMode val="edge"/>
              <c:yMode val="edge"/>
              <c:x val="0.23420710531738198"/>
              <c:y val="0.8467016741734240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119720"/>
        <c:crosses val="autoZero"/>
        <c:auto val="1"/>
        <c:lblAlgn val="ctr"/>
        <c:lblOffset val="100"/>
        <c:noMultiLvlLbl val="0"/>
      </c:catAx>
      <c:valAx>
        <c:axId val="624119720"/>
        <c:scaling>
          <c:orientation val="minMax"/>
          <c:max val="2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122344"/>
        <c:crosses val="autoZero"/>
        <c:crossBetween val="midCat"/>
        <c:majorUnit val="40"/>
      </c:valAx>
      <c:serAx>
        <c:axId val="324163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rgbClr val="0D78C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200" b="1">
                    <a:solidFill>
                      <a:srgbClr val="0D78C9"/>
                    </a:solidFill>
                  </a:rPr>
                  <a:t>Battery Capacity (A*hr)</a:t>
                </a:r>
              </a:p>
            </c:rich>
          </c:tx>
          <c:layout>
            <c:manualLayout>
              <c:xMode val="edge"/>
              <c:yMode val="edge"/>
              <c:x val="0.62006441570881221"/>
              <c:y val="0.94788185159952332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1" i="0" u="none" strike="noStrike" kern="1200" baseline="0">
                <a:solidFill>
                  <a:srgbClr val="0D78C9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119720"/>
        <c:crosses val="autoZero"/>
        <c:tickLblSkip val="1"/>
      </c:ser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5296440924133443E-2"/>
          <c:y val="0.76750502429576206"/>
          <c:w val="0.1655681431351011"/>
          <c:h val="0.21899191765003406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20"/>
      <c:rotY val="5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0137237315675403E-2"/>
          <c:y val="3.3714242216494258E-2"/>
          <c:w val="0.88376163802417174"/>
          <c:h val="0.88047162548784541"/>
        </c:manualLayout>
      </c:layout>
      <c:surface3DChart>
        <c:wireframe val="0"/>
        <c:ser>
          <c:idx val="0"/>
          <c:order val="0"/>
          <c:tx>
            <c:strRef>
              <c:f>Results!$H$18</c:f>
              <c:strCache>
                <c:ptCount val="1"/>
                <c:pt idx="0">
                  <c:v>100</c:v>
                </c:pt>
              </c:strCache>
            </c:strRef>
          </c:tx>
          <c:cat>
            <c:numRef>
              <c:f>Results!$G$5:$G$17</c:f>
              <c:numCache>
                <c:formatCode>General</c:formatCode>
                <c:ptCount val="13"/>
                <c:pt idx="0">
                  <c:v>120</c:v>
                </c:pt>
                <c:pt idx="1">
                  <c:v>110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30</c:v>
                </c:pt>
                <c:pt idx="10">
                  <c:v>20</c:v>
                </c:pt>
                <c:pt idx="11">
                  <c:v>10</c:v>
                </c:pt>
                <c:pt idx="12">
                  <c:v>0</c:v>
                </c:pt>
              </c:numCache>
            </c:numRef>
          </c:cat>
          <c:val>
            <c:numRef>
              <c:f>Results!$AJ$5:$AJ$17</c:f>
              <c:numCache>
                <c:formatCode>General</c:formatCode>
                <c:ptCount val="13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92-42CE-9FD6-CC4B5C704753}"/>
            </c:ext>
          </c:extLst>
        </c:ser>
        <c:ser>
          <c:idx val="1"/>
          <c:order val="1"/>
          <c:tx>
            <c:strRef>
              <c:f>Results!$AK$18</c:f>
              <c:strCache>
                <c:ptCount val="1"/>
                <c:pt idx="0">
                  <c:v>120</c:v>
                </c:pt>
              </c:strCache>
            </c:strRef>
          </c:tx>
          <c:cat>
            <c:numRef>
              <c:f>Results!$G$5:$G$17</c:f>
              <c:numCache>
                <c:formatCode>General</c:formatCode>
                <c:ptCount val="13"/>
                <c:pt idx="0">
                  <c:v>120</c:v>
                </c:pt>
                <c:pt idx="1">
                  <c:v>110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30</c:v>
                </c:pt>
                <c:pt idx="10">
                  <c:v>20</c:v>
                </c:pt>
                <c:pt idx="11">
                  <c:v>10</c:v>
                </c:pt>
                <c:pt idx="12">
                  <c:v>0</c:v>
                </c:pt>
              </c:numCache>
            </c:numRef>
          </c:cat>
          <c:val>
            <c:numRef>
              <c:f>Results!$AK$5:$AK$17</c:f>
              <c:numCache>
                <c:formatCode>General</c:formatCode>
                <c:ptCount val="13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92-42CE-9FD6-CC4B5C704753}"/>
            </c:ext>
          </c:extLst>
        </c:ser>
        <c:ser>
          <c:idx val="2"/>
          <c:order val="2"/>
          <c:tx>
            <c:strRef>
              <c:f>Results!$J$18</c:f>
              <c:strCache>
                <c:ptCount val="1"/>
                <c:pt idx="0">
                  <c:v>140</c:v>
                </c:pt>
              </c:strCache>
            </c:strRef>
          </c:tx>
          <c:cat>
            <c:numRef>
              <c:f>Results!$G$5:$G$17</c:f>
              <c:numCache>
                <c:formatCode>General</c:formatCode>
                <c:ptCount val="13"/>
                <c:pt idx="0">
                  <c:v>120</c:v>
                </c:pt>
                <c:pt idx="1">
                  <c:v>110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30</c:v>
                </c:pt>
                <c:pt idx="10">
                  <c:v>20</c:v>
                </c:pt>
                <c:pt idx="11">
                  <c:v>10</c:v>
                </c:pt>
                <c:pt idx="12">
                  <c:v>0</c:v>
                </c:pt>
              </c:numCache>
            </c:numRef>
          </c:cat>
          <c:val>
            <c:numRef>
              <c:f>Results!$AL$5:$AL$17</c:f>
              <c:numCache>
                <c:formatCode>General</c:formatCode>
                <c:ptCount val="13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92-42CE-9FD6-CC4B5C704753}"/>
            </c:ext>
          </c:extLst>
        </c:ser>
        <c:ser>
          <c:idx val="3"/>
          <c:order val="3"/>
          <c:tx>
            <c:strRef>
              <c:f>Results!$K$18</c:f>
              <c:strCache>
                <c:ptCount val="1"/>
                <c:pt idx="0">
                  <c:v>160</c:v>
                </c:pt>
              </c:strCache>
            </c:strRef>
          </c:tx>
          <c:cat>
            <c:numRef>
              <c:f>Results!$G$5:$G$17</c:f>
              <c:numCache>
                <c:formatCode>General</c:formatCode>
                <c:ptCount val="13"/>
                <c:pt idx="0">
                  <c:v>120</c:v>
                </c:pt>
                <c:pt idx="1">
                  <c:v>110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30</c:v>
                </c:pt>
                <c:pt idx="10">
                  <c:v>20</c:v>
                </c:pt>
                <c:pt idx="11">
                  <c:v>10</c:v>
                </c:pt>
                <c:pt idx="12">
                  <c:v>0</c:v>
                </c:pt>
              </c:numCache>
            </c:numRef>
          </c:cat>
          <c:val>
            <c:numRef>
              <c:f>Results!$AM$5:$AM$17</c:f>
              <c:numCache>
                <c:formatCode>General</c:formatCode>
                <c:ptCount val="13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92-42CE-9FD6-CC4B5C704753}"/>
            </c:ext>
          </c:extLst>
        </c:ser>
        <c:ser>
          <c:idx val="4"/>
          <c:order val="4"/>
          <c:tx>
            <c:strRef>
              <c:f>Results!$L$18</c:f>
              <c:strCache>
                <c:ptCount val="1"/>
                <c:pt idx="0">
                  <c:v>180</c:v>
                </c:pt>
              </c:strCache>
            </c:strRef>
          </c:tx>
          <c:cat>
            <c:numRef>
              <c:f>Results!$G$5:$G$17</c:f>
              <c:numCache>
                <c:formatCode>General</c:formatCode>
                <c:ptCount val="13"/>
                <c:pt idx="0">
                  <c:v>120</c:v>
                </c:pt>
                <c:pt idx="1">
                  <c:v>110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30</c:v>
                </c:pt>
                <c:pt idx="10">
                  <c:v>20</c:v>
                </c:pt>
                <c:pt idx="11">
                  <c:v>10</c:v>
                </c:pt>
                <c:pt idx="12">
                  <c:v>0</c:v>
                </c:pt>
              </c:numCache>
            </c:numRef>
          </c:cat>
          <c:val>
            <c:numRef>
              <c:f>Results!$AN$5:$AN$17</c:f>
              <c:numCache>
                <c:formatCode>General</c:formatCode>
                <c:ptCount val="13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92-42CE-9FD6-CC4B5C704753}"/>
            </c:ext>
          </c:extLst>
        </c:ser>
        <c:ser>
          <c:idx val="5"/>
          <c:order val="5"/>
          <c:tx>
            <c:strRef>
              <c:f>Results!$AO$18</c:f>
              <c:strCache>
                <c:ptCount val="1"/>
                <c:pt idx="0">
                  <c:v>200</c:v>
                </c:pt>
              </c:strCache>
            </c:strRef>
          </c:tx>
          <c:cat>
            <c:numRef>
              <c:f>Results!$G$5:$G$17</c:f>
              <c:numCache>
                <c:formatCode>General</c:formatCode>
                <c:ptCount val="13"/>
                <c:pt idx="0">
                  <c:v>120</c:v>
                </c:pt>
                <c:pt idx="1">
                  <c:v>110</c:v>
                </c:pt>
                <c:pt idx="2">
                  <c:v>100</c:v>
                </c:pt>
                <c:pt idx="3">
                  <c:v>90</c:v>
                </c:pt>
                <c:pt idx="4">
                  <c:v>80</c:v>
                </c:pt>
                <c:pt idx="5">
                  <c:v>70</c:v>
                </c:pt>
                <c:pt idx="6">
                  <c:v>60</c:v>
                </c:pt>
                <c:pt idx="7">
                  <c:v>50</c:v>
                </c:pt>
                <c:pt idx="8">
                  <c:v>40</c:v>
                </c:pt>
                <c:pt idx="9">
                  <c:v>30</c:v>
                </c:pt>
                <c:pt idx="10">
                  <c:v>20</c:v>
                </c:pt>
                <c:pt idx="11">
                  <c:v>10</c:v>
                </c:pt>
                <c:pt idx="12">
                  <c:v>0</c:v>
                </c:pt>
              </c:numCache>
            </c:numRef>
          </c:cat>
          <c:val>
            <c:numRef>
              <c:f>Results!$AO$5:$AO$17</c:f>
              <c:numCache>
                <c:formatCode>General</c:formatCode>
                <c:ptCount val="13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92-42CE-9FD6-CC4B5C704753}"/>
            </c:ext>
          </c:extLst>
        </c:ser>
        <c:bandFmts>
          <c:bandFmt>
            <c:idx val="0"/>
            <c:spPr>
              <a:solidFill>
                <a:schemeClr val="bg1">
                  <a:lumMod val="75000"/>
                  <a:alpha val="50000"/>
                </a:schemeClr>
              </a:solidFill>
            </c:spPr>
          </c:bandFmt>
          <c:bandFmt>
            <c:idx val="1"/>
            <c:spPr>
              <a:solidFill>
                <a:schemeClr val="bg1">
                  <a:lumMod val="75000"/>
                  <a:alpha val="50000"/>
                </a:schemeClr>
              </a:solidFill>
            </c:spPr>
          </c:bandFmt>
          <c:bandFmt>
            <c:idx val="2"/>
            <c:spPr>
              <a:solidFill>
                <a:schemeClr val="bg1">
                  <a:lumMod val="75000"/>
                  <a:alpha val="50000"/>
                </a:schemeClr>
              </a:solidFill>
            </c:spPr>
          </c:bandFmt>
          <c:bandFmt>
            <c:idx val="3"/>
            <c:spPr>
              <a:solidFill>
                <a:schemeClr val="bg1">
                  <a:lumMod val="75000"/>
                  <a:alpha val="50000"/>
                </a:schemeClr>
              </a:solidFill>
            </c:spPr>
          </c:bandFmt>
          <c:bandFmt>
            <c:idx val="4"/>
            <c:spPr>
              <a:solidFill>
                <a:schemeClr val="bg1">
                  <a:lumMod val="75000"/>
                  <a:alpha val="50000"/>
                </a:schemeClr>
              </a:solidFill>
              <a:ln>
                <a:noFill/>
              </a:ln>
            </c:spPr>
          </c:bandFmt>
          <c:bandFmt>
            <c:idx val="5"/>
            <c:spPr>
              <a:solidFill>
                <a:schemeClr val="bg1">
                  <a:lumMod val="75000"/>
                  <a:alpha val="50000"/>
                </a:schemeClr>
              </a:solidFill>
              <a:ln>
                <a:noFill/>
              </a:ln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24122344"/>
        <c:axId val="624119720"/>
        <c:axId val="324163184"/>
      </c:surface3DChart>
      <c:catAx>
        <c:axId val="624122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rgbClr val="7030A0">
                        <a:alpha val="0"/>
                      </a:srgb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200" b="1">
                    <a:solidFill>
                      <a:srgbClr val="7030A0">
                        <a:alpha val="0"/>
                      </a:srgbClr>
                    </a:solidFill>
                  </a:rPr>
                  <a:t>Payload (kg)</a:t>
                </a:r>
              </a:p>
            </c:rich>
          </c:tx>
          <c:layout>
            <c:manualLayout>
              <c:xMode val="edge"/>
              <c:yMode val="edge"/>
              <c:x val="0.23420710531738198"/>
              <c:y val="0.8467016741734240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75000"/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119720"/>
        <c:crosses val="autoZero"/>
        <c:auto val="1"/>
        <c:lblAlgn val="ctr"/>
        <c:lblOffset val="100"/>
        <c:noMultiLvlLbl val="0"/>
      </c:catAx>
      <c:valAx>
        <c:axId val="624119720"/>
        <c:scaling>
          <c:orientation val="minMax"/>
          <c:max val="24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>
                    <a:lumMod val="75000"/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122344"/>
        <c:crosses val="autoZero"/>
        <c:crossBetween val="midCat"/>
        <c:majorUnit val="40"/>
      </c:valAx>
      <c:serAx>
        <c:axId val="324163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accent2">
                        <a:lumMod val="75000"/>
                        <a:alpha val="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sz="1200" b="1">
                    <a:solidFill>
                      <a:schemeClr val="accent2">
                        <a:lumMod val="75000"/>
                        <a:alpha val="0"/>
                      </a:schemeClr>
                    </a:solidFill>
                  </a:rPr>
                  <a:t>Battery Capacity (A*hr)</a:t>
                </a:r>
              </a:p>
            </c:rich>
          </c:tx>
          <c:layout>
            <c:manualLayout>
              <c:xMode val="edge"/>
              <c:yMode val="edge"/>
              <c:x val="0.62006441570881221"/>
              <c:y val="0.94788185159952332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1" i="0" u="none" strike="noStrike" kern="1200" baseline="0">
                <a:solidFill>
                  <a:schemeClr val="accent2">
                    <a:lumMod val="75000"/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119720"/>
        <c:crosses val="autoZero"/>
      </c:ser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11</xdr:row>
          <xdr:rowOff>129540</xdr:rowOff>
        </xdr:from>
        <xdr:to>
          <xdr:col>2</xdr:col>
          <xdr:colOff>403860</xdr:colOff>
          <xdr:row>14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Simulations in Simscape™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179294</xdr:colOff>
      <xdr:row>2</xdr:row>
      <xdr:rowOff>151057</xdr:rowOff>
    </xdr:from>
    <xdr:to>
      <xdr:col>21</xdr:col>
      <xdr:colOff>88094</xdr:colOff>
      <xdr:row>26</xdr:row>
      <xdr:rowOff>25550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179294</xdr:colOff>
      <xdr:row>2</xdr:row>
      <xdr:rowOff>151057</xdr:rowOff>
    </xdr:from>
    <xdr:to>
      <xdr:col>21</xdr:col>
      <xdr:colOff>88094</xdr:colOff>
      <xdr:row>26</xdr:row>
      <xdr:rowOff>25550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4"/>
  <sheetViews>
    <sheetView tabSelected="1" topLeftCell="B2" zoomScaleNormal="100" workbookViewId="0">
      <selection activeCell="C23" sqref="C23"/>
    </sheetView>
  </sheetViews>
  <sheetFormatPr defaultRowHeight="14.4" x14ac:dyDescent="0.3"/>
  <cols>
    <col min="1" max="1" width="6" customWidth="1"/>
    <col min="2" max="2" width="20.21875" bestFit="1" customWidth="1"/>
    <col min="3" max="3" width="10.21875" style="2" bestFit="1" customWidth="1"/>
    <col min="4" max="4" width="4.77734375" bestFit="1" customWidth="1"/>
    <col min="5" max="5" width="4.5546875" customWidth="1"/>
    <col min="6" max="6" width="4.44140625" bestFit="1" customWidth="1"/>
    <col min="7" max="7" width="4" bestFit="1" customWidth="1"/>
    <col min="8" max="13" width="5.5546875" customWidth="1"/>
    <col min="14" max="14" width="4.6640625" customWidth="1"/>
    <col min="23" max="33" width="8.88671875" style="4"/>
  </cols>
  <sheetData>
    <row r="1" spans="1:41" x14ac:dyDescent="0.3">
      <c r="A1" s="4"/>
      <c r="B1" s="4"/>
      <c r="C1" s="5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</row>
    <row r="2" spans="1:41" ht="23.4" x14ac:dyDescent="0.45">
      <c r="A2" s="4"/>
      <c r="B2" s="24" t="s">
        <v>16</v>
      </c>
      <c r="C2" s="5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</row>
    <row r="3" spans="1:41" x14ac:dyDescent="0.3">
      <c r="A3" s="4"/>
      <c r="B3" s="4"/>
      <c r="C3" s="5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spans="1:41" ht="21" x14ac:dyDescent="0.4">
      <c r="A4" s="4"/>
      <c r="B4" s="47" t="s">
        <v>15</v>
      </c>
      <c r="C4" s="48"/>
      <c r="D4" s="49"/>
      <c r="E4" s="4"/>
      <c r="F4" s="11"/>
      <c r="G4" s="12"/>
      <c r="H4" s="44" t="s">
        <v>14</v>
      </c>
      <c r="I4" s="45"/>
      <c r="J4" s="45"/>
      <c r="K4" s="45"/>
      <c r="L4" s="45"/>
      <c r="M4" s="46"/>
      <c r="N4" s="4"/>
      <c r="O4" s="4"/>
      <c r="P4" s="4"/>
      <c r="Q4" s="4"/>
      <c r="R4" s="4"/>
      <c r="S4" s="4"/>
      <c r="T4" s="4"/>
      <c r="U4" s="4"/>
      <c r="V4" s="4"/>
    </row>
    <row r="5" spans="1:41" x14ac:dyDescent="0.3">
      <c r="A5" s="4"/>
      <c r="B5" s="19" t="s">
        <v>0</v>
      </c>
      <c r="C5" s="20" t="s">
        <v>2</v>
      </c>
      <c r="D5" s="14"/>
      <c r="E5" s="4"/>
      <c r="F5" s="43" t="s">
        <v>10</v>
      </c>
      <c r="G5" s="40">
        <f>$C$9</f>
        <v>120</v>
      </c>
      <c r="H5" s="25"/>
      <c r="I5" s="26"/>
      <c r="J5" s="26"/>
      <c r="K5" s="26"/>
      <c r="L5" s="26"/>
      <c r="M5" s="27"/>
      <c r="N5" s="4"/>
      <c r="O5" s="4"/>
      <c r="P5" s="4"/>
      <c r="Q5" s="4"/>
      <c r="R5" s="4"/>
      <c r="S5" s="4"/>
      <c r="T5" s="4"/>
      <c r="U5" s="4"/>
      <c r="V5" s="4"/>
      <c r="AI5" s="8">
        <f>$C$9</f>
        <v>120</v>
      </c>
      <c r="AJ5" s="4">
        <f t="shared" ref="AJ5:AO17" si="0">$C$11</f>
        <v>160</v>
      </c>
      <c r="AK5" s="4">
        <f t="shared" si="0"/>
        <v>160</v>
      </c>
      <c r="AL5" s="4">
        <f t="shared" si="0"/>
        <v>160</v>
      </c>
      <c r="AM5" s="4">
        <f t="shared" si="0"/>
        <v>160</v>
      </c>
      <c r="AN5" s="4">
        <f t="shared" si="0"/>
        <v>160</v>
      </c>
      <c r="AO5" s="4">
        <f t="shared" si="0"/>
        <v>160</v>
      </c>
    </row>
    <row r="6" spans="1:41" x14ac:dyDescent="0.3">
      <c r="A6" s="4"/>
      <c r="B6" s="19" t="s">
        <v>3</v>
      </c>
      <c r="C6" s="20" t="s">
        <v>4</v>
      </c>
      <c r="D6" s="14"/>
      <c r="E6" s="4"/>
      <c r="F6" s="43"/>
      <c r="G6" s="40">
        <f>($G$5-$G$17)/12*11</f>
        <v>110</v>
      </c>
      <c r="H6" s="25"/>
      <c r="I6" s="26"/>
      <c r="J6" s="26"/>
      <c r="K6" s="26"/>
      <c r="L6" s="26"/>
      <c r="M6" s="27"/>
      <c r="N6" s="4"/>
      <c r="O6" s="4"/>
      <c r="P6" s="4"/>
      <c r="Q6" s="4"/>
      <c r="R6" s="4"/>
      <c r="S6" s="4"/>
      <c r="T6" s="4"/>
      <c r="U6" s="4"/>
      <c r="V6" s="4"/>
      <c r="AI6" s="9">
        <f>($G$5-$G$17)/12*11</f>
        <v>110</v>
      </c>
      <c r="AJ6" s="4">
        <f t="shared" si="0"/>
        <v>160</v>
      </c>
      <c r="AK6" s="4">
        <f t="shared" si="0"/>
        <v>160</v>
      </c>
      <c r="AL6" s="4">
        <f t="shared" si="0"/>
        <v>160</v>
      </c>
      <c r="AM6" s="4">
        <f t="shared" si="0"/>
        <v>160</v>
      </c>
      <c r="AN6" s="4">
        <f t="shared" si="0"/>
        <v>160</v>
      </c>
      <c r="AO6" s="4">
        <f t="shared" si="0"/>
        <v>160</v>
      </c>
    </row>
    <row r="7" spans="1:41" x14ac:dyDescent="0.3">
      <c r="A7" s="4"/>
      <c r="B7" s="31" t="s">
        <v>1</v>
      </c>
      <c r="C7" s="32">
        <v>200</v>
      </c>
      <c r="D7" s="33" t="s">
        <v>8</v>
      </c>
      <c r="E7" s="4"/>
      <c r="F7" s="43"/>
      <c r="G7" s="40">
        <f>($G$5-$G$17)/12*10</f>
        <v>100</v>
      </c>
      <c r="H7" s="25"/>
      <c r="I7" s="26"/>
      <c r="J7" s="26"/>
      <c r="K7" s="26"/>
      <c r="L7" s="26"/>
      <c r="M7" s="27"/>
      <c r="N7" s="4"/>
      <c r="O7" s="4"/>
      <c r="P7" s="4"/>
      <c r="Q7" s="4"/>
      <c r="R7" s="4"/>
      <c r="S7" s="4"/>
      <c r="T7" s="4"/>
      <c r="U7" s="4"/>
      <c r="V7" s="4"/>
      <c r="AI7" s="9">
        <f>($G$5-$G$17)/12*10</f>
        <v>100</v>
      </c>
      <c r="AJ7" s="4">
        <f t="shared" si="0"/>
        <v>160</v>
      </c>
      <c r="AK7" s="4">
        <f t="shared" si="0"/>
        <v>160</v>
      </c>
      <c r="AL7" s="4">
        <f t="shared" si="0"/>
        <v>160</v>
      </c>
      <c r="AM7" s="4">
        <f t="shared" si="0"/>
        <v>160</v>
      </c>
      <c r="AN7" s="4">
        <f t="shared" si="0"/>
        <v>160</v>
      </c>
      <c r="AO7" s="4">
        <f t="shared" si="0"/>
        <v>160</v>
      </c>
    </row>
    <row r="8" spans="1:41" x14ac:dyDescent="0.3">
      <c r="A8" s="4"/>
      <c r="B8" s="31" t="s">
        <v>5</v>
      </c>
      <c r="C8" s="34">
        <v>100</v>
      </c>
      <c r="D8" s="33" t="s">
        <v>8</v>
      </c>
      <c r="E8" s="4"/>
      <c r="F8" s="43"/>
      <c r="G8" s="40">
        <f>($G$5-$G$17)/12*9</f>
        <v>90</v>
      </c>
      <c r="H8" s="25"/>
      <c r="I8" s="26"/>
      <c r="J8" s="26"/>
      <c r="K8" s="26"/>
      <c r="L8" s="26"/>
      <c r="M8" s="27"/>
      <c r="N8" s="4"/>
      <c r="O8" s="4"/>
      <c r="P8" s="4"/>
      <c r="Q8" s="4"/>
      <c r="R8" s="4"/>
      <c r="S8" s="4"/>
      <c r="T8" s="4"/>
      <c r="U8" s="4"/>
      <c r="V8" s="4"/>
      <c r="AI8" s="9">
        <f>($G$5-$G$17)/12*9</f>
        <v>90</v>
      </c>
      <c r="AJ8" s="4">
        <f t="shared" si="0"/>
        <v>160</v>
      </c>
      <c r="AK8" s="4">
        <f t="shared" si="0"/>
        <v>160</v>
      </c>
      <c r="AL8" s="4">
        <f t="shared" si="0"/>
        <v>160</v>
      </c>
      <c r="AM8" s="4">
        <f t="shared" si="0"/>
        <v>160</v>
      </c>
      <c r="AN8" s="4">
        <f t="shared" si="0"/>
        <v>160</v>
      </c>
      <c r="AO8" s="4">
        <f t="shared" si="0"/>
        <v>160</v>
      </c>
    </row>
    <row r="9" spans="1:41" x14ac:dyDescent="0.3">
      <c r="A9" s="4"/>
      <c r="B9" s="37" t="s">
        <v>6</v>
      </c>
      <c r="C9" s="38">
        <v>120</v>
      </c>
      <c r="D9" s="39" t="s">
        <v>9</v>
      </c>
      <c r="E9" s="4"/>
      <c r="F9" s="43"/>
      <c r="G9" s="40">
        <f>($G$5-$G$17)/12*8</f>
        <v>80</v>
      </c>
      <c r="H9" s="25"/>
      <c r="I9" s="26"/>
      <c r="J9" s="26"/>
      <c r="K9" s="26"/>
      <c r="L9" s="26"/>
      <c r="M9" s="27"/>
      <c r="N9" s="4"/>
      <c r="O9" s="4"/>
      <c r="P9" s="4"/>
      <c r="Q9" s="4"/>
      <c r="R9" s="4"/>
      <c r="S9" s="4"/>
      <c r="T9" s="4"/>
      <c r="U9" s="4"/>
      <c r="V9" s="4"/>
      <c r="AI9" s="9">
        <f>($G$5-$G$17)/12*8</f>
        <v>80</v>
      </c>
      <c r="AJ9" s="4">
        <f t="shared" si="0"/>
        <v>160</v>
      </c>
      <c r="AK9" s="4">
        <f t="shared" si="0"/>
        <v>160</v>
      </c>
      <c r="AL9" s="4">
        <f t="shared" si="0"/>
        <v>160</v>
      </c>
      <c r="AM9" s="4">
        <f t="shared" si="0"/>
        <v>160</v>
      </c>
      <c r="AN9" s="4">
        <f t="shared" si="0"/>
        <v>160</v>
      </c>
      <c r="AO9" s="4">
        <f t="shared" si="0"/>
        <v>160</v>
      </c>
    </row>
    <row r="10" spans="1:41" x14ac:dyDescent="0.3">
      <c r="A10" s="1"/>
      <c r="B10" s="37" t="s">
        <v>7</v>
      </c>
      <c r="C10" s="38">
        <v>0</v>
      </c>
      <c r="D10" s="39" t="s">
        <v>9</v>
      </c>
      <c r="E10" s="4"/>
      <c r="F10" s="43"/>
      <c r="G10" s="40">
        <f>($G$5-$G$17)/12*7</f>
        <v>70</v>
      </c>
      <c r="H10" s="25"/>
      <c r="I10" s="26"/>
      <c r="J10" s="26"/>
      <c r="K10" s="26"/>
      <c r="L10" s="26"/>
      <c r="M10" s="27"/>
      <c r="N10" s="4"/>
      <c r="O10" s="4"/>
      <c r="P10" s="4"/>
      <c r="Q10" s="4"/>
      <c r="R10" s="4"/>
      <c r="S10" s="4"/>
      <c r="T10" s="4"/>
      <c r="U10" s="4"/>
      <c r="V10" s="4"/>
      <c r="AI10" s="9">
        <f>($G$5-$G$17)/12*7</f>
        <v>70</v>
      </c>
      <c r="AJ10" s="4">
        <f t="shared" si="0"/>
        <v>160</v>
      </c>
      <c r="AK10" s="4">
        <f t="shared" si="0"/>
        <v>160</v>
      </c>
      <c r="AL10" s="4">
        <f t="shared" si="0"/>
        <v>160</v>
      </c>
      <c r="AM10" s="4">
        <f t="shared" si="0"/>
        <v>160</v>
      </c>
      <c r="AN10" s="4">
        <f t="shared" si="0"/>
        <v>160</v>
      </c>
      <c r="AO10" s="4">
        <f t="shared" si="0"/>
        <v>160</v>
      </c>
    </row>
    <row r="11" spans="1:41" x14ac:dyDescent="0.3">
      <c r="A11" s="1"/>
      <c r="B11" s="21" t="s">
        <v>12</v>
      </c>
      <c r="C11" s="22">
        <v>160</v>
      </c>
      <c r="D11" s="23" t="s">
        <v>13</v>
      </c>
      <c r="E11" s="4"/>
      <c r="F11" s="43"/>
      <c r="G11" s="40">
        <f>($G$5-$G$17)/12*6</f>
        <v>60</v>
      </c>
      <c r="H11" s="25"/>
      <c r="I11" s="26"/>
      <c r="J11" s="26"/>
      <c r="K11" s="26"/>
      <c r="L11" s="26"/>
      <c r="M11" s="27"/>
      <c r="N11" s="4"/>
      <c r="O11" s="4"/>
      <c r="P11" s="4"/>
      <c r="Q11" s="4"/>
      <c r="R11" s="4"/>
      <c r="S11" s="4"/>
      <c r="T11" s="4"/>
      <c r="U11" s="4"/>
      <c r="V11" s="4"/>
      <c r="AI11" s="9">
        <f>($G$5-$G$17)/12*6</f>
        <v>60</v>
      </c>
      <c r="AJ11" s="4">
        <f t="shared" si="0"/>
        <v>160</v>
      </c>
      <c r="AK11" s="4">
        <f t="shared" si="0"/>
        <v>160</v>
      </c>
      <c r="AL11" s="4">
        <f t="shared" si="0"/>
        <v>160</v>
      </c>
      <c r="AM11" s="4">
        <f t="shared" si="0"/>
        <v>160</v>
      </c>
      <c r="AN11" s="4">
        <f t="shared" si="0"/>
        <v>160</v>
      </c>
      <c r="AO11" s="4">
        <f t="shared" si="0"/>
        <v>160</v>
      </c>
    </row>
    <row r="12" spans="1:41" x14ac:dyDescent="0.3">
      <c r="A12" s="4"/>
      <c r="B12" s="4"/>
      <c r="C12" s="5"/>
      <c r="D12" s="4"/>
      <c r="E12" s="4"/>
      <c r="F12" s="43"/>
      <c r="G12" s="40">
        <f>($G$5-$G$17)/12*5</f>
        <v>50</v>
      </c>
      <c r="H12" s="25"/>
      <c r="I12" s="26"/>
      <c r="J12" s="26"/>
      <c r="K12" s="26"/>
      <c r="L12" s="26"/>
      <c r="M12" s="27"/>
      <c r="N12" s="4"/>
      <c r="O12" s="4"/>
      <c r="P12" s="4"/>
      <c r="Q12" s="4"/>
      <c r="R12" s="4"/>
      <c r="S12" s="4"/>
      <c r="T12" s="4"/>
      <c r="U12" s="4"/>
      <c r="V12" s="4"/>
      <c r="AI12" s="9">
        <f>($G$5-$G$17)/12*5</f>
        <v>50</v>
      </c>
      <c r="AJ12" s="4">
        <f t="shared" si="0"/>
        <v>160</v>
      </c>
      <c r="AK12" s="4">
        <f t="shared" si="0"/>
        <v>160</v>
      </c>
      <c r="AL12" s="4">
        <f t="shared" si="0"/>
        <v>160</v>
      </c>
      <c r="AM12" s="4">
        <f t="shared" si="0"/>
        <v>160</v>
      </c>
      <c r="AN12" s="4">
        <f t="shared" si="0"/>
        <v>160</v>
      </c>
      <c r="AO12" s="4">
        <f t="shared" si="0"/>
        <v>160</v>
      </c>
    </row>
    <row r="13" spans="1:41" x14ac:dyDescent="0.3">
      <c r="A13" s="4"/>
      <c r="B13" s="3"/>
      <c r="C13" s="5"/>
      <c r="D13" s="4"/>
      <c r="E13" s="4"/>
      <c r="F13" s="43"/>
      <c r="G13" s="40">
        <f>($G$5-$G$17)/12*4</f>
        <v>40</v>
      </c>
      <c r="H13" s="25"/>
      <c r="I13" s="26"/>
      <c r="J13" s="26"/>
      <c r="K13" s="26"/>
      <c r="L13" s="26"/>
      <c r="M13" s="27"/>
      <c r="N13" s="4"/>
      <c r="O13" s="4"/>
      <c r="P13" s="4"/>
      <c r="Q13" s="4"/>
      <c r="R13" s="4"/>
      <c r="S13" s="4"/>
      <c r="T13" s="4"/>
      <c r="U13" s="4"/>
      <c r="V13" s="4"/>
      <c r="AI13" s="9">
        <f>($G$5-$G$17)/12*4</f>
        <v>40</v>
      </c>
      <c r="AJ13" s="4">
        <f t="shared" si="0"/>
        <v>160</v>
      </c>
      <c r="AK13" s="4">
        <f t="shared" si="0"/>
        <v>160</v>
      </c>
      <c r="AL13" s="4">
        <f t="shared" si="0"/>
        <v>160</v>
      </c>
      <c r="AM13" s="4">
        <f t="shared" si="0"/>
        <v>160</v>
      </c>
      <c r="AN13" s="4">
        <f t="shared" si="0"/>
        <v>160</v>
      </c>
      <c r="AO13" s="4">
        <f t="shared" si="0"/>
        <v>160</v>
      </c>
    </row>
    <row r="14" spans="1:41" x14ac:dyDescent="0.3">
      <c r="A14" s="4"/>
      <c r="B14" s="4"/>
      <c r="C14" s="5"/>
      <c r="D14" s="4"/>
      <c r="E14" s="4"/>
      <c r="F14" s="43"/>
      <c r="G14" s="40">
        <f>($G$5-$G$17)/12*3</f>
        <v>30</v>
      </c>
      <c r="H14" s="25"/>
      <c r="I14" s="26"/>
      <c r="J14" s="26"/>
      <c r="K14" s="26"/>
      <c r="L14" s="26"/>
      <c r="M14" s="27"/>
      <c r="N14" s="4"/>
      <c r="O14" s="4"/>
      <c r="P14" s="4"/>
      <c r="Q14" s="4"/>
      <c r="R14" s="4"/>
      <c r="S14" s="4"/>
      <c r="T14" s="4"/>
      <c r="U14" s="4"/>
      <c r="V14" s="4"/>
      <c r="AI14" s="9">
        <f>($G$5-$G$17)/12*3</f>
        <v>30</v>
      </c>
      <c r="AJ14" s="4">
        <f t="shared" si="0"/>
        <v>160</v>
      </c>
      <c r="AK14" s="4">
        <f t="shared" si="0"/>
        <v>160</v>
      </c>
      <c r="AL14" s="4">
        <f t="shared" si="0"/>
        <v>160</v>
      </c>
      <c r="AM14" s="4">
        <f t="shared" si="0"/>
        <v>160</v>
      </c>
      <c r="AN14" s="4">
        <f t="shared" si="0"/>
        <v>160</v>
      </c>
      <c r="AO14" s="4">
        <f t="shared" si="0"/>
        <v>160</v>
      </c>
    </row>
    <row r="15" spans="1:41" x14ac:dyDescent="0.3">
      <c r="A15" s="4"/>
      <c r="B15" s="4"/>
      <c r="C15" s="5"/>
      <c r="D15" s="4"/>
      <c r="E15" s="4"/>
      <c r="F15" s="43"/>
      <c r="G15" s="40">
        <f>($G$5-$G$17)/12*2</f>
        <v>20</v>
      </c>
      <c r="H15" s="25"/>
      <c r="I15" s="26"/>
      <c r="J15" s="26"/>
      <c r="K15" s="26"/>
      <c r="L15" s="26"/>
      <c r="M15" s="27"/>
      <c r="N15" s="4"/>
      <c r="O15" s="4"/>
      <c r="P15" s="4"/>
      <c r="Q15" s="4"/>
      <c r="R15" s="4"/>
      <c r="S15" s="4"/>
      <c r="T15" s="4"/>
      <c r="U15" s="4"/>
      <c r="V15" s="4"/>
      <c r="AI15" s="9">
        <f>($G$5-$G$17)/12*2</f>
        <v>20</v>
      </c>
      <c r="AJ15" s="4">
        <f t="shared" si="0"/>
        <v>160</v>
      </c>
      <c r="AK15" s="4">
        <f t="shared" si="0"/>
        <v>160</v>
      </c>
      <c r="AL15" s="4">
        <f t="shared" si="0"/>
        <v>160</v>
      </c>
      <c r="AM15" s="4">
        <f t="shared" si="0"/>
        <v>160</v>
      </c>
      <c r="AN15" s="4">
        <f t="shared" si="0"/>
        <v>160</v>
      </c>
      <c r="AO15" s="4">
        <f t="shared" si="0"/>
        <v>160</v>
      </c>
    </row>
    <row r="16" spans="1:41" x14ac:dyDescent="0.3">
      <c r="A16" s="4"/>
      <c r="B16" s="1"/>
      <c r="C16" s="5"/>
      <c r="D16" s="4"/>
      <c r="E16" s="4"/>
      <c r="F16" s="43"/>
      <c r="G16" s="40">
        <f>G17+($G$5-$G$17)/12</f>
        <v>10</v>
      </c>
      <c r="H16" s="25"/>
      <c r="I16" s="26"/>
      <c r="J16" s="26"/>
      <c r="K16" s="26"/>
      <c r="L16" s="26"/>
      <c r="M16" s="27"/>
      <c r="N16" s="4"/>
      <c r="O16" s="4"/>
      <c r="P16" s="4"/>
      <c r="Q16" s="4"/>
      <c r="R16" s="4"/>
      <c r="S16" s="4"/>
      <c r="T16" s="4"/>
      <c r="U16" s="4"/>
      <c r="V16" s="4"/>
      <c r="AI16" s="9">
        <f>AI17+($G$5-$G$17)/12</f>
        <v>10</v>
      </c>
      <c r="AJ16" s="4">
        <f t="shared" si="0"/>
        <v>160</v>
      </c>
      <c r="AK16" s="4">
        <f t="shared" si="0"/>
        <v>160</v>
      </c>
      <c r="AL16" s="4">
        <f t="shared" si="0"/>
        <v>160</v>
      </c>
      <c r="AM16" s="4">
        <f t="shared" si="0"/>
        <v>160</v>
      </c>
      <c r="AN16" s="4">
        <f t="shared" si="0"/>
        <v>160</v>
      </c>
      <c r="AO16" s="4">
        <f t="shared" si="0"/>
        <v>160</v>
      </c>
    </row>
    <row r="17" spans="1:41" x14ac:dyDescent="0.3">
      <c r="A17" s="4"/>
      <c r="B17" s="18"/>
      <c r="C17" s="5"/>
      <c r="D17" s="4"/>
      <c r="E17" s="4"/>
      <c r="F17" s="43"/>
      <c r="G17" s="40">
        <f>$C$10</f>
        <v>0</v>
      </c>
      <c r="H17" s="28"/>
      <c r="I17" s="29"/>
      <c r="J17" s="29"/>
      <c r="K17" s="29"/>
      <c r="L17" s="29"/>
      <c r="M17" s="30"/>
      <c r="N17" s="4"/>
      <c r="O17" s="4"/>
      <c r="P17" s="4"/>
      <c r="Q17" s="4"/>
      <c r="R17" s="4"/>
      <c r="S17" s="4"/>
      <c r="T17" s="4"/>
      <c r="U17" s="4"/>
      <c r="V17" s="4"/>
      <c r="AI17" s="10">
        <f>$C$10</f>
        <v>0</v>
      </c>
      <c r="AJ17" s="4">
        <f t="shared" si="0"/>
        <v>160</v>
      </c>
      <c r="AK17" s="4">
        <f t="shared" si="0"/>
        <v>160</v>
      </c>
      <c r="AL17" s="4">
        <f t="shared" si="0"/>
        <v>160</v>
      </c>
      <c r="AM17" s="4">
        <f t="shared" si="0"/>
        <v>160</v>
      </c>
      <c r="AN17" s="4">
        <f t="shared" si="0"/>
        <v>160</v>
      </c>
      <c r="AO17" s="4">
        <f t="shared" si="0"/>
        <v>160</v>
      </c>
    </row>
    <row r="18" spans="1:41" x14ac:dyDescent="0.3">
      <c r="A18" s="4"/>
      <c r="B18" s="4"/>
      <c r="C18" s="5"/>
      <c r="D18" s="4"/>
      <c r="E18" s="4"/>
      <c r="F18" s="15"/>
      <c r="G18" s="13"/>
      <c r="H18" s="35">
        <f>$C$8</f>
        <v>100</v>
      </c>
      <c r="I18" s="35">
        <f>H18+($M$18-$H$18)/5</f>
        <v>120</v>
      </c>
      <c r="J18" s="35">
        <f>I18+($M$18-$H$18)/5</f>
        <v>140</v>
      </c>
      <c r="K18" s="35">
        <f>J18+($M$18-$H$18)/5</f>
        <v>160</v>
      </c>
      <c r="L18" s="35">
        <f>K18+($M$18-$H$18)/5</f>
        <v>180</v>
      </c>
      <c r="M18" s="36">
        <f>$C$7</f>
        <v>200</v>
      </c>
      <c r="N18" s="4"/>
      <c r="O18" s="4"/>
      <c r="P18" s="4"/>
      <c r="Q18" s="4"/>
      <c r="R18" s="4"/>
      <c r="S18" s="4"/>
      <c r="T18" s="4"/>
      <c r="U18" s="4"/>
      <c r="V18" s="4"/>
      <c r="AI18" s="4"/>
      <c r="AJ18" s="6">
        <f>$C$8</f>
        <v>100</v>
      </c>
      <c r="AK18" s="7">
        <f>AJ18+($M$18-$H$18)/5</f>
        <v>120</v>
      </c>
      <c r="AL18" s="7">
        <f>AK18+($M$18-$H$18)/5</f>
        <v>140</v>
      </c>
      <c r="AM18" s="7">
        <f>AL18+($M$18-$H$18)/5</f>
        <v>160</v>
      </c>
      <c r="AN18" s="7">
        <f>AM18+($M$18-$H$18)/5</f>
        <v>180</v>
      </c>
      <c r="AO18" s="8">
        <f>$C$7</f>
        <v>200</v>
      </c>
    </row>
    <row r="19" spans="1:41" ht="18" x14ac:dyDescent="0.35">
      <c r="A19" s="4"/>
      <c r="B19" s="4"/>
      <c r="C19" s="5"/>
      <c r="D19" s="4"/>
      <c r="E19" s="4"/>
      <c r="F19" s="16"/>
      <c r="G19" s="17"/>
      <c r="H19" s="41" t="s">
        <v>11</v>
      </c>
      <c r="I19" s="41"/>
      <c r="J19" s="41"/>
      <c r="K19" s="41"/>
      <c r="L19" s="41"/>
      <c r="M19" s="42"/>
      <c r="N19" s="4"/>
      <c r="O19" s="4"/>
      <c r="P19" s="4"/>
      <c r="Q19" s="4"/>
      <c r="R19" s="4"/>
      <c r="S19" s="4"/>
      <c r="T19" s="4"/>
      <c r="U19" s="4"/>
      <c r="V19" s="4"/>
    </row>
    <row r="20" spans="1:41" x14ac:dyDescent="0.3">
      <c r="A20" s="4"/>
      <c r="B20" s="4"/>
      <c r="C20" s="5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</row>
    <row r="21" spans="1:41" x14ac:dyDescent="0.3">
      <c r="A21" s="4"/>
      <c r="B21" s="4"/>
      <c r="C21" s="5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</row>
    <row r="22" spans="1:41" x14ac:dyDescent="0.3">
      <c r="A22" s="4"/>
      <c r="B22" s="4"/>
      <c r="C22" s="5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</row>
    <row r="23" spans="1:41" x14ac:dyDescent="0.3">
      <c r="A23" s="4"/>
      <c r="B23" s="4"/>
      <c r="C23" s="5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</row>
    <row r="24" spans="1:41" x14ac:dyDescent="0.3">
      <c r="A24" s="4"/>
      <c r="B24" s="4"/>
      <c r="C24" s="5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</row>
    <row r="25" spans="1:41" x14ac:dyDescent="0.3">
      <c r="A25" s="4"/>
      <c r="B25" s="4"/>
      <c r="C25" s="5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</row>
    <row r="26" spans="1:41" x14ac:dyDescent="0.3">
      <c r="A26" s="4"/>
      <c r="B26" s="4"/>
      <c r="C26" s="5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</row>
    <row r="27" spans="1:41" s="4" customFormat="1" x14ac:dyDescent="0.3">
      <c r="C27" s="5"/>
    </row>
    <row r="28" spans="1:41" s="4" customFormat="1" x14ac:dyDescent="0.3">
      <c r="C28" s="5"/>
    </row>
    <row r="29" spans="1:41" s="4" customFormat="1" x14ac:dyDescent="0.3">
      <c r="C29" s="5"/>
    </row>
    <row r="30" spans="1:41" s="4" customFormat="1" x14ac:dyDescent="0.3">
      <c r="C30" s="5"/>
    </row>
    <row r="31" spans="1:41" s="4" customFormat="1" x14ac:dyDescent="0.3">
      <c r="C31" s="5"/>
    </row>
    <row r="32" spans="1:41" s="4" customFormat="1" x14ac:dyDescent="0.3">
      <c r="C32" s="5"/>
    </row>
    <row r="33" spans="3:3" s="4" customFormat="1" x14ac:dyDescent="0.3">
      <c r="C33" s="5"/>
    </row>
    <row r="34" spans="3:3" s="4" customFormat="1" x14ac:dyDescent="0.3">
      <c r="C34" s="5"/>
    </row>
  </sheetData>
  <mergeCells count="4">
    <mergeCell ref="H19:M19"/>
    <mergeCell ref="F5:F17"/>
    <mergeCell ref="H4:M4"/>
    <mergeCell ref="B4:D4"/>
  </mergeCells>
  <conditionalFormatting sqref="H5:M17">
    <cfRule type="cellIs" dxfId="1" priority="5" operator="greaterThan">
      <formula>$C$11</formula>
    </cfRule>
    <cfRule type="expression" dxfId="0" priority="6">
      <formula>"&gt;$C$10"</formula>
    </cfRule>
  </conditionalFormatting>
  <dataValidations count="2">
    <dataValidation type="list" allowBlank="1" showInputMessage="1" showErrorMessage="1" sqref="C5" xr:uid="{00000000-0002-0000-0000-000000000000}">
      <formula1>"Electric,Hybrid"</formula1>
    </dataValidation>
    <dataValidation type="list" allowBlank="1" showInputMessage="1" showErrorMessage="1" sqref="C6" xr:uid="{00000000-0002-0000-0000-000001000000}">
      <formula1>"Single Seat,Double Seat"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aircraft_param_sweep">
                <anchor moveWithCells="1" sizeWithCells="1">
                  <from>
                    <xdr:col>1</xdr:col>
                    <xdr:colOff>365760</xdr:colOff>
                    <xdr:row>11</xdr:row>
                    <xdr:rowOff>129540</xdr:rowOff>
                  </from>
                  <to>
                    <xdr:col>2</xdr:col>
                    <xdr:colOff>403860</xdr:colOff>
                    <xdr:row>14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>
      <selection activeCell="C33" sqref="C33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Miller</dc:creator>
  <cp:lastModifiedBy>Steve Miller</cp:lastModifiedBy>
  <dcterms:created xsi:type="dcterms:W3CDTF">2017-11-09T18:25:18Z</dcterms:created>
  <dcterms:modified xsi:type="dcterms:W3CDTF">2018-11-14T10:55:22Z</dcterms:modified>
</cp:coreProperties>
</file>